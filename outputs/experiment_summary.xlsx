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13FF5F-7E4F-47A1-A58B-333C3D0688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</sheets>
  <calcPr calcId="181029"/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3" i="1"/>
  <c r="F14" i="1"/>
  <c r="F15" i="1"/>
  <c r="F6" i="1"/>
  <c r="E6" i="1"/>
  <c r="E7" i="1"/>
  <c r="E8" i="1"/>
  <c r="E9" i="1"/>
  <c r="E10" i="1"/>
  <c r="E11" i="1"/>
  <c r="E12" i="1"/>
  <c r="E13" i="1"/>
  <c r="E14" i="1"/>
  <c r="E15" i="1"/>
  <c r="E5" i="1"/>
</calcChain>
</file>

<file path=xl/sharedStrings.xml><?xml version="1.0" encoding="utf-8"?>
<sst xmlns="http://schemas.openxmlformats.org/spreadsheetml/2006/main" count="31" uniqueCount="30">
  <si>
    <t>User count</t>
  </si>
  <si>
    <t>Landing page visit rate</t>
  </si>
  <si>
    <t>Trial start rate</t>
  </si>
  <si>
    <t>Onboarding completion rate</t>
  </si>
  <si>
    <t>Paid conversion rate</t>
  </si>
  <si>
    <t>Refund rate</t>
  </si>
  <si>
    <t>Support ticket rate</t>
  </si>
  <si>
    <t>Average revenue per user</t>
  </si>
  <si>
    <t>Average engagement score</t>
  </si>
  <si>
    <t>Average days to convert</t>
  </si>
  <si>
    <t>Operational Metric Formula (Excel Syntax)</t>
  </si>
  <si>
    <t>Absolute Lift</t>
  </si>
  <si>
    <t>Relative Lift(%)</t>
  </si>
  <si>
    <t>=COUNTIF(user_id_range,"Control") &amp; =COUNTIF(user_id_range,"Treatment")</t>
  </si>
  <si>
    <t>=COUNTIF(visited_landing_page_range, 1) / 669 &amp; =COUNTIF(visited_landing_page_range, 1) / 675</t>
  </si>
  <si>
    <t>=COUNTIF(started_trial_range, 1) / 669 &amp; =COUNTIF(started_trial_range, 1) / 675</t>
  </si>
  <si>
    <t>=COUNTIF(completed_onboarding_range, 1) / 669 &amp; =COUNTIF(completed_onboarding_range, 1) / 675</t>
  </si>
  <si>
    <t>=COUNTIF(converted_to_paid_range, 1) / 669 &amp; =COUNTIF(converted_to_paid_range, 1) / 675</t>
  </si>
  <si>
    <t>Average revenue per converted user</t>
  </si>
  <si>
    <t>=AVERAGE(revenue_30d_range)</t>
  </si>
  <si>
    <t>=AVERAGE(converted_to_paid_range, 1, revenue_30d_range)</t>
  </si>
  <si>
    <t>=COUNTIF(refund_requested_range, 1) / 669 &amp; =COUNTIF(refund_requested_range, 1) / 675</t>
  </si>
  <si>
    <t>=COUNTIF(support_tickets_30d_range, "&gt;0") / 669 &amp; =COUNTIF(support_tickets_30d_range, "&gt;0") / 675</t>
  </si>
  <si>
    <t>=AVERAGE(engagement_score_range)</t>
  </si>
  <si>
    <t>=AVERAGE(days_to_convert_range)</t>
  </si>
  <si>
    <t>N/A</t>
  </si>
  <si>
    <t>Metrics Name</t>
  </si>
  <si>
    <t>Control Group</t>
  </si>
  <si>
    <t>Treatment Group</t>
  </si>
  <si>
    <t>Experiment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</si>
</sst>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quotePrefix="1" applyBorder="1" applyAlignment="1">
      <alignment wrapText="1"/>
    </xf>
    <xf numFmtId="0" fontId="0" fillId="0" borderId="1" xfId="0" applyBorder="1"/>
    <xf numFmtId="10" fontId="0" fillId="0" borderId="1" xfId="0" applyNumberFormat="1" applyBorder="1"/>
    <xf numFmtId="0" fontId="0" fillId="0" borderId="1" xfId="0" quotePrefix="1" applyFont="1" applyBorder="1" applyAlignment="1">
      <alignment wrapText="1"/>
    </xf>
    <xf numFmtId="168" fontId="0" fillId="0" borderId="1" xfId="0" applyNumberFormat="1" applyBorder="1"/>
    <xf numFmtId="0" fontId="0" fillId="0" borderId="1" xfId="0" quotePrefix="1" applyBorder="1"/>
    <xf numFmtId="2" fontId="0" fillId="0" borderId="1" xfId="0" applyNumberFormat="1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85" zoomScaleNormal="85" workbookViewId="0">
      <selection sqref="A1:F2"/>
    </sheetView>
  </sheetViews>
  <sheetFormatPr defaultRowHeight="15" x14ac:dyDescent="0.25"/>
  <cols>
    <col min="1" max="1" width="34.140625" bestFit="1" customWidth="1"/>
    <col min="2" max="2" width="39.140625" style="1" bestFit="1" customWidth="1"/>
    <col min="3" max="3" width="13.7109375" bestFit="1" customWidth="1"/>
    <col min="4" max="4" width="16.42578125" bestFit="1" customWidth="1"/>
    <col min="5" max="5" width="12.28515625" bestFit="1" customWidth="1"/>
    <col min="6" max="6" width="14.7109375" customWidth="1"/>
  </cols>
  <sheetData>
    <row r="1" spans="1:9" x14ac:dyDescent="0.25">
      <c r="A1" s="13" t="s">
        <v>29</v>
      </c>
      <c r="B1" s="13"/>
      <c r="C1" s="13"/>
      <c r="D1" s="13"/>
      <c r="E1" s="13"/>
      <c r="F1" s="13"/>
    </row>
    <row r="2" spans="1:9" x14ac:dyDescent="0.25">
      <c r="A2" s="13"/>
      <c r="B2" s="13"/>
      <c r="C2" s="13"/>
      <c r="D2" s="13"/>
      <c r="E2" s="13"/>
      <c r="F2" s="13"/>
    </row>
    <row r="3" spans="1:9" ht="30" x14ac:dyDescent="0.25">
      <c r="A3" s="2" t="s">
        <v>26</v>
      </c>
      <c r="B3" s="3" t="s">
        <v>10</v>
      </c>
      <c r="C3" s="2" t="s">
        <v>27</v>
      </c>
      <c r="D3" s="2" t="s">
        <v>28</v>
      </c>
      <c r="E3" s="2" t="s">
        <v>11</v>
      </c>
      <c r="F3" s="2" t="s">
        <v>12</v>
      </c>
      <c r="I3" s="12"/>
    </row>
    <row r="4" spans="1:9" x14ac:dyDescent="0.25">
      <c r="A4" s="2"/>
      <c r="B4" s="3"/>
      <c r="C4" s="2"/>
      <c r="D4" s="2"/>
      <c r="E4" s="2"/>
      <c r="F4" s="2"/>
    </row>
    <row r="5" spans="1:9" ht="30" x14ac:dyDescent="0.25">
      <c r="A5" s="4" t="s">
        <v>0</v>
      </c>
      <c r="B5" s="5" t="s">
        <v>13</v>
      </c>
      <c r="C5" s="6">
        <v>669</v>
      </c>
      <c r="D5" s="6">
        <v>675</v>
      </c>
      <c r="E5" s="6">
        <f>D5-C5</f>
        <v>6</v>
      </c>
      <c r="F5" s="6" t="s">
        <v>25</v>
      </c>
    </row>
    <row r="6" spans="1:9" ht="60" x14ac:dyDescent="0.25">
      <c r="A6" s="4" t="s">
        <v>1</v>
      </c>
      <c r="B6" s="5" t="s">
        <v>14</v>
      </c>
      <c r="C6" s="7">
        <v>0.63079222720478323</v>
      </c>
      <c r="D6" s="7">
        <v>0.7214814814814815</v>
      </c>
      <c r="E6" s="7">
        <f t="shared" ref="E6:E15" si="0">D6-C6</f>
        <v>9.0689254276698272E-2</v>
      </c>
      <c r="F6" s="7">
        <f>(D6-C6)/C6</f>
        <v>0.14377040547656669</v>
      </c>
    </row>
    <row r="7" spans="1:9" ht="30" x14ac:dyDescent="0.25">
      <c r="A7" s="4" t="s">
        <v>2</v>
      </c>
      <c r="B7" s="5" t="s">
        <v>15</v>
      </c>
      <c r="C7" s="7">
        <v>0.24514200298953662</v>
      </c>
      <c r="D7" s="7">
        <v>0.29777777777777775</v>
      </c>
      <c r="E7" s="7">
        <f t="shared" si="0"/>
        <v>5.2635774788241135E-2</v>
      </c>
      <c r="F7" s="7">
        <f t="shared" ref="F7:F15" si="1">(D7-C7)/C7</f>
        <v>0.21471544715447147</v>
      </c>
    </row>
    <row r="8" spans="1:9" ht="60" x14ac:dyDescent="0.25">
      <c r="A8" s="4" t="s">
        <v>3</v>
      </c>
      <c r="B8" s="8" t="s">
        <v>16</v>
      </c>
      <c r="C8" s="7">
        <v>0.15396113602391628</v>
      </c>
      <c r="D8" s="7">
        <v>0.21481481481481482</v>
      </c>
      <c r="E8" s="7">
        <f t="shared" si="0"/>
        <v>6.0853678790898535E-2</v>
      </c>
      <c r="F8" s="7">
        <f t="shared" si="1"/>
        <v>0.3952535059331177</v>
      </c>
    </row>
    <row r="9" spans="1:9" ht="60" x14ac:dyDescent="0.25">
      <c r="A9" s="4" t="s">
        <v>4</v>
      </c>
      <c r="B9" s="5" t="s">
        <v>17</v>
      </c>
      <c r="C9" s="7">
        <v>2.9895366218236172E-2</v>
      </c>
      <c r="D9" s="7">
        <v>7.1111111111111111E-2</v>
      </c>
      <c r="E9" s="7">
        <f t="shared" si="0"/>
        <v>4.1215744892874939E-2</v>
      </c>
      <c r="F9" s="7">
        <f t="shared" si="1"/>
        <v>1.3786666666666667</v>
      </c>
    </row>
    <row r="10" spans="1:9" x14ac:dyDescent="0.25">
      <c r="A10" s="4" t="s">
        <v>7</v>
      </c>
      <c r="B10" s="5" t="s">
        <v>19</v>
      </c>
      <c r="C10" s="9">
        <v>50.986875934230198</v>
      </c>
      <c r="D10" s="9">
        <v>54.948948148148162</v>
      </c>
      <c r="E10" s="9">
        <f t="shared" si="0"/>
        <v>3.9620722139179634</v>
      </c>
      <c r="F10" s="7">
        <f t="shared" si="1"/>
        <v>7.7707687347402549E-2</v>
      </c>
    </row>
    <row r="11" spans="1:9" ht="30" x14ac:dyDescent="0.25">
      <c r="A11" s="4" t="s">
        <v>18</v>
      </c>
      <c r="B11" s="5" t="s">
        <v>20</v>
      </c>
      <c r="C11" s="9">
        <v>1705.511</v>
      </c>
      <c r="D11" s="9">
        <v>772.7195833333335</v>
      </c>
      <c r="E11" s="9">
        <f t="shared" si="0"/>
        <v>-932.79141666666646</v>
      </c>
      <c r="F11" s="7">
        <f t="shared" si="1"/>
        <v>-0.5469278220232332</v>
      </c>
    </row>
    <row r="12" spans="1:9" ht="60" x14ac:dyDescent="0.25">
      <c r="A12" s="4" t="s">
        <v>5</v>
      </c>
      <c r="B12" s="5" t="s">
        <v>21</v>
      </c>
      <c r="C12" s="7">
        <v>0</v>
      </c>
      <c r="D12" s="7">
        <v>4.4444444444444444E-3</v>
      </c>
      <c r="E12" s="7">
        <f t="shared" si="0"/>
        <v>4.4444444444444444E-3</v>
      </c>
      <c r="F12" s="7" t="s">
        <v>25</v>
      </c>
    </row>
    <row r="13" spans="1:9" ht="60" x14ac:dyDescent="0.25">
      <c r="A13" s="4" t="s">
        <v>6</v>
      </c>
      <c r="B13" s="5" t="s">
        <v>22</v>
      </c>
      <c r="C13" s="7">
        <v>0.14648729446935724</v>
      </c>
      <c r="D13" s="7">
        <v>0.24888888888888888</v>
      </c>
      <c r="E13" s="7">
        <f t="shared" si="0"/>
        <v>0.10240159441953164</v>
      </c>
      <c r="F13" s="7">
        <f t="shared" si="1"/>
        <v>0.69904761904761914</v>
      </c>
    </row>
    <row r="14" spans="1:9" x14ac:dyDescent="0.25">
      <c r="A14" s="4" t="s">
        <v>8</v>
      </c>
      <c r="B14" s="10" t="s">
        <v>23</v>
      </c>
      <c r="C14" s="11">
        <v>57.174289985052333</v>
      </c>
      <c r="D14" s="11">
        <v>62.721481481481462</v>
      </c>
      <c r="E14" s="11">
        <f t="shared" si="0"/>
        <v>5.5471914964291287</v>
      </c>
      <c r="F14" s="7">
        <f t="shared" si="1"/>
        <v>9.7022481571338942E-2</v>
      </c>
    </row>
    <row r="15" spans="1:9" x14ac:dyDescent="0.25">
      <c r="A15" s="4" t="s">
        <v>9</v>
      </c>
      <c r="B15" s="10" t="s">
        <v>24</v>
      </c>
      <c r="C15" s="11">
        <v>9.1999999999999993</v>
      </c>
      <c r="D15" s="11">
        <v>6.416666666666667</v>
      </c>
      <c r="E15" s="11">
        <f t="shared" si="0"/>
        <v>-2.7833333333333323</v>
      </c>
      <c r="F15" s="7">
        <f t="shared" si="1"/>
        <v>-0.30253623188405787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Budhia</cp:lastModifiedBy>
  <dcterms:created xsi:type="dcterms:W3CDTF">2026-06-24T19:40:45Z</dcterms:created>
  <dcterms:modified xsi:type="dcterms:W3CDTF">2026-06-25T19:33:18Z</dcterms:modified>
</cp:coreProperties>
</file>